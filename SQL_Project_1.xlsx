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44B2B64-7651-4255-80B9-0AB37CF191D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udents_Data" sheetId="1" r:id="rId1"/>
    <sheet name="Sales_Data" sheetId="2" r:id="rId2"/>
    <sheet name="Employees_Data" sheetId="3" r:id="rId3"/>
    <sheet name="Calcul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5" i="1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B4" i="4"/>
  <c r="B3" i="4"/>
  <c r="B1" i="4"/>
  <c r="F2" i="3"/>
  <c r="H21" i="1"/>
  <c r="G21" i="1"/>
  <c r="H20" i="1"/>
  <c r="G20" i="1"/>
  <c r="H19" i="1"/>
  <c r="G19" i="1"/>
  <c r="H18" i="1"/>
  <c r="G18" i="1"/>
  <c r="H17" i="1"/>
  <c r="G17" i="1"/>
  <c r="H16" i="1"/>
  <c r="G16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B2" i="4" s="1"/>
</calcChain>
</file>

<file path=xl/sharedStrings.xml><?xml version="1.0" encoding="utf-8"?>
<sst xmlns="http://schemas.openxmlformats.org/spreadsheetml/2006/main" count="194" uniqueCount="149">
  <si>
    <t>Student ID</t>
  </si>
  <si>
    <t>Name</t>
  </si>
  <si>
    <t>Math</t>
  </si>
  <si>
    <t>Science</t>
  </si>
  <si>
    <t>English</t>
  </si>
  <si>
    <t>Enrollment Date</t>
  </si>
  <si>
    <t>Grade</t>
  </si>
  <si>
    <t>Math &amp; Science &gt;80</t>
  </si>
  <si>
    <t>Student 1</t>
  </si>
  <si>
    <t>2018-01-01</t>
  </si>
  <si>
    <t>Student 2</t>
  </si>
  <si>
    <t>2018-06-30</t>
  </si>
  <si>
    <t>Student 3</t>
  </si>
  <si>
    <t>2018-12-27</t>
  </si>
  <si>
    <t>Student 4</t>
  </si>
  <si>
    <t>2019-06-25</t>
  </si>
  <si>
    <t>Student 5</t>
  </si>
  <si>
    <t>2019-12-22</t>
  </si>
  <si>
    <t>Student 6</t>
  </si>
  <si>
    <t>2020-06-19</t>
  </si>
  <si>
    <t>Student 7</t>
  </si>
  <si>
    <t>2020-12-16</t>
  </si>
  <si>
    <t>Student 8</t>
  </si>
  <si>
    <t>2021-06-14</t>
  </si>
  <si>
    <t>Student 9</t>
  </si>
  <si>
    <t>2021-12-11</t>
  </si>
  <si>
    <t>Student 10</t>
  </si>
  <si>
    <t>2022-06-09</t>
  </si>
  <si>
    <t>Student 11</t>
  </si>
  <si>
    <t>2022-12-06</t>
  </si>
  <si>
    <t>Student 12</t>
  </si>
  <si>
    <t>2023-06-04</t>
  </si>
  <si>
    <t>Student 13</t>
  </si>
  <si>
    <t>2023-12-01</t>
  </si>
  <si>
    <t>Student 14</t>
  </si>
  <si>
    <t>2024-05-29</t>
  </si>
  <si>
    <t>Student 15</t>
  </si>
  <si>
    <t>2024-11-25</t>
  </si>
  <si>
    <t>Student 16</t>
  </si>
  <si>
    <t>2025-05-24</t>
  </si>
  <si>
    <t>Student 17</t>
  </si>
  <si>
    <t>2025-11-20</t>
  </si>
  <si>
    <t>Student 18</t>
  </si>
  <si>
    <t>2026-05-19</t>
  </si>
  <si>
    <t>Student 19</t>
  </si>
  <si>
    <t>2026-11-15</t>
  </si>
  <si>
    <t>Student 20</t>
  </si>
  <si>
    <t>2027-05-14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</si>
  <si>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</si>
  <si>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</si>
  <si>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</si>
  <si>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</si>
  <si>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</si>
  <si>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</si>
  <si>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</si>
  <si>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</si>
  <si>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</si>
  <si>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2023-01-01</t>
  </si>
  <si>
    <t>Printer</t>
  </si>
  <si>
    <t>West</t>
  </si>
  <si>
    <t>Person 2</t>
  </si>
  <si>
    <t>2023-01-16</t>
  </si>
  <si>
    <t>Mouse</t>
  </si>
  <si>
    <t>Person 3</t>
  </si>
  <si>
    <t>2023-01-31</t>
  </si>
  <si>
    <t>East</t>
  </si>
  <si>
    <t>Person 4</t>
  </si>
  <si>
    <t>2023-02-15</t>
  </si>
  <si>
    <t>North</t>
  </si>
  <si>
    <t>Person 5</t>
  </si>
  <si>
    <t>2023-03-02</t>
  </si>
  <si>
    <t>Person 6</t>
  </si>
  <si>
    <t>2023-03-17</t>
  </si>
  <si>
    <t>Person 7</t>
  </si>
  <si>
    <t>Person 8</t>
  </si>
  <si>
    <t>2023-04-16</t>
  </si>
  <si>
    <t>Person 9</t>
  </si>
  <si>
    <t>2023-05-01</t>
  </si>
  <si>
    <t>Person 10</t>
  </si>
  <si>
    <t>2023-05-16</t>
  </si>
  <si>
    <t>Person 11</t>
  </si>
  <si>
    <t>2023-05-31</t>
  </si>
  <si>
    <t>Monitor</t>
  </si>
  <si>
    <t>Person 12</t>
  </si>
  <si>
    <t>2023-06-15</t>
  </si>
  <si>
    <t>Laptop</t>
  </si>
  <si>
    <t>Person 13</t>
  </si>
  <si>
    <t>2023-06-30</t>
  </si>
  <si>
    <t>Person 14</t>
  </si>
  <si>
    <t>2023-07-15</t>
  </si>
  <si>
    <t>Person 15</t>
  </si>
  <si>
    <t>2023-07-30</t>
  </si>
  <si>
    <t>Person 16</t>
  </si>
  <si>
    <t>2023-08-14</t>
  </si>
  <si>
    <t>Person 17</t>
  </si>
  <si>
    <t>2023-08-29</t>
  </si>
  <si>
    <t>Person 18</t>
  </si>
  <si>
    <t>2023-09-13</t>
  </si>
  <si>
    <t>Person 19</t>
  </si>
  <si>
    <t>2023-09-28</t>
  </si>
  <si>
    <t>Person 20</t>
  </si>
  <si>
    <t>2023-10-13</t>
  </si>
  <si>
    <t>Employee ID</t>
  </si>
  <si>
    <t>Department</t>
  </si>
  <si>
    <t>Salary</t>
  </si>
  <si>
    <t>Joining Date</t>
  </si>
  <si>
    <t>Experience (Years)</t>
  </si>
  <si>
    <t>Employee 1</t>
  </si>
  <si>
    <t>Finance</t>
  </si>
  <si>
    <t>2015-01-01</t>
  </si>
  <si>
    <t>Employee 2</t>
  </si>
  <si>
    <t>2015-09-08</t>
  </si>
  <si>
    <t>Employee 3</t>
  </si>
  <si>
    <t>HR</t>
  </si>
  <si>
    <t>2016-05-15</t>
  </si>
  <si>
    <t>Employee 4</t>
  </si>
  <si>
    <t>2017-01-20</t>
  </si>
  <si>
    <t>Employee 5</t>
  </si>
  <si>
    <t>IT</t>
  </si>
  <si>
    <t>2017-09-27</t>
  </si>
  <si>
    <t>Employee 6</t>
  </si>
  <si>
    <t>2018-06-04</t>
  </si>
  <si>
    <t>Employee 7</t>
  </si>
  <si>
    <t>Marketing</t>
  </si>
  <si>
    <t>2019-02-09</t>
  </si>
  <si>
    <t>Employee 8</t>
  </si>
  <si>
    <t>2019-10-17</t>
  </si>
  <si>
    <t>Employee 9</t>
  </si>
  <si>
    <t>2020-06-23</t>
  </si>
  <si>
    <t>Employee 10</t>
  </si>
  <si>
    <t>2021-02-28</t>
  </si>
  <si>
    <t>Employee 11</t>
  </si>
  <si>
    <t>2021-11-05</t>
  </si>
  <si>
    <t>Employee 12</t>
  </si>
  <si>
    <t>2022-07-13</t>
  </si>
  <si>
    <t>Employee 13</t>
  </si>
  <si>
    <t>2023-03-20</t>
  </si>
  <si>
    <t>Employee 14</t>
  </si>
  <si>
    <t>2023-11-25</t>
  </si>
  <si>
    <t>Employee 15</t>
  </si>
  <si>
    <t>2024-08-01</t>
  </si>
  <si>
    <t>Employee 16</t>
  </si>
  <si>
    <t>2025-04-08</t>
  </si>
  <si>
    <t>Employee 17</t>
  </si>
  <si>
    <t>2025-12-14</t>
  </si>
  <si>
    <t>Total Students Math &gt; 50</t>
  </si>
  <si>
    <t>Students Avg &gt; 60</t>
  </si>
  <si>
    <t>Total Keyboard Sales (East)</t>
  </si>
  <si>
    <t>Salary of Employee 3008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</si>
</sst>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14" fontId="0" fillId="0" borderId="1" xfId="0" applyNumberFormat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1" fillId="8" borderId="1" xfId="0" applyFont="1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H21" sqref="H21"/>
    </sheetView>
  </sheetViews>
  <sheetFormatPr defaultRowHeight="14.4" x14ac:dyDescent="0.3"/>
  <cols>
    <col min="1" max="1" width="9.5546875" bestFit="1" customWidth="1"/>
    <col min="6" max="6" width="14.44140625" bestFit="1" customWidth="1"/>
    <col min="8" max="8" width="17.21875" bestFit="1" customWidth="1"/>
  </cols>
  <sheetData>
    <row r="1" spans="1: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">
      <c r="A2" s="1">
        <v>1001</v>
      </c>
      <c r="B2" s="1" t="s">
        <v>8</v>
      </c>
      <c r="C2" s="1">
        <v>61</v>
      </c>
      <c r="D2" s="1">
        <v>48</v>
      </c>
      <c r="E2" s="1">
        <v>76</v>
      </c>
      <c r="F2" s="1" t="s">
        <v>9</v>
      </c>
      <c r="G2" s="7" t="str">
        <f t="shared" ref="G2:G21" si="0">IF(AVERAGE(C2:E2)&gt;=80,"A",IF(AVERAGE(C2:E2)&gt;=60,"B","C"))</f>
        <v>B</v>
      </c>
      <c r="H2" s="3" t="str">
        <f t="shared" ref="H2:H21" si="1">IF(AND(C2&gt;80,D2&gt;80),"Yes","No")</f>
        <v>No</v>
      </c>
    </row>
    <row r="3" spans="1:8" x14ac:dyDescent="0.3">
      <c r="A3" s="1">
        <v>1002</v>
      </c>
      <c r="B3" s="1" t="s">
        <v>10</v>
      </c>
      <c r="C3" s="1">
        <v>78</v>
      </c>
      <c r="D3" s="1">
        <v>76</v>
      </c>
      <c r="E3" s="1">
        <v>70</v>
      </c>
      <c r="F3" s="1" t="s">
        <v>11</v>
      </c>
      <c r="G3" s="7" t="str">
        <f t="shared" si="0"/>
        <v>B</v>
      </c>
      <c r="H3" s="3" t="str">
        <f t="shared" si="1"/>
        <v>No</v>
      </c>
    </row>
    <row r="4" spans="1:8" x14ac:dyDescent="0.3">
      <c r="A4" s="1">
        <v>1003</v>
      </c>
      <c r="B4" s="1" t="s">
        <v>12</v>
      </c>
      <c r="C4" s="1">
        <v>97</v>
      </c>
      <c r="D4" s="1">
        <v>60</v>
      </c>
      <c r="E4" s="1">
        <v>51</v>
      </c>
      <c r="F4" s="1" t="s">
        <v>13</v>
      </c>
      <c r="G4" s="7" t="str">
        <f t="shared" si="0"/>
        <v>B</v>
      </c>
      <c r="H4" s="3" t="str">
        <f t="shared" si="1"/>
        <v>No</v>
      </c>
    </row>
    <row r="5" spans="1:8" x14ac:dyDescent="0.3">
      <c r="A5" s="1">
        <v>1004</v>
      </c>
      <c r="B5" s="1" t="s">
        <v>14</v>
      </c>
      <c r="C5" s="1">
        <v>74</v>
      </c>
      <c r="D5" s="1">
        <v>55</v>
      </c>
      <c r="E5" s="1">
        <v>46</v>
      </c>
      <c r="F5" s="1" t="s">
        <v>15</v>
      </c>
      <c r="G5" s="7" t="str">
        <f t="shared" si="0"/>
        <v>C</v>
      </c>
      <c r="H5" s="3" t="str">
        <f t="shared" si="1"/>
        <v>No</v>
      </c>
    </row>
    <row r="6" spans="1:8" x14ac:dyDescent="0.3">
      <c r="A6" s="1">
        <v>1005</v>
      </c>
      <c r="B6" s="1" t="s">
        <v>16</v>
      </c>
      <c r="C6" s="1">
        <v>68</v>
      </c>
      <c r="D6" s="1">
        <v>74</v>
      </c>
      <c r="E6" s="1">
        <v>84</v>
      </c>
      <c r="F6" s="1" t="s">
        <v>17</v>
      </c>
      <c r="G6" s="7" t="str">
        <f t="shared" si="0"/>
        <v>B</v>
      </c>
      <c r="H6" s="3" t="str">
        <f t="shared" si="1"/>
        <v>No</v>
      </c>
    </row>
    <row r="7" spans="1:8" x14ac:dyDescent="0.3">
      <c r="A7" s="1">
        <v>1006</v>
      </c>
      <c r="B7" s="1" t="s">
        <v>18</v>
      </c>
      <c r="C7" s="1">
        <v>80</v>
      </c>
      <c r="D7" s="1">
        <v>70</v>
      </c>
      <c r="E7" s="1">
        <v>65</v>
      </c>
      <c r="F7" s="1" t="s">
        <v>19</v>
      </c>
      <c r="G7" s="7" t="str">
        <f t="shared" si="0"/>
        <v>B</v>
      </c>
      <c r="H7" s="3" t="str">
        <f t="shared" si="1"/>
        <v>No</v>
      </c>
    </row>
    <row r="8" spans="1:8" x14ac:dyDescent="0.3">
      <c r="A8" s="1">
        <v>1007</v>
      </c>
      <c r="B8" s="1" t="s">
        <v>20</v>
      </c>
      <c r="C8" s="1">
        <v>75</v>
      </c>
      <c r="D8" s="1">
        <v>47</v>
      </c>
      <c r="E8" s="1">
        <v>78</v>
      </c>
      <c r="F8" s="1" t="s">
        <v>21</v>
      </c>
      <c r="G8" s="7" t="str">
        <f t="shared" si="0"/>
        <v>B</v>
      </c>
      <c r="H8" s="3" t="str">
        <f t="shared" si="1"/>
        <v>No</v>
      </c>
    </row>
    <row r="9" spans="1:8" x14ac:dyDescent="0.3">
      <c r="A9" s="1">
        <v>1008</v>
      </c>
      <c r="B9" s="1" t="s">
        <v>22</v>
      </c>
      <c r="C9" s="1">
        <v>94</v>
      </c>
      <c r="D9" s="1">
        <v>67</v>
      </c>
      <c r="E9" s="1">
        <v>64</v>
      </c>
      <c r="F9" s="1" t="s">
        <v>23</v>
      </c>
      <c r="G9" s="7" t="str">
        <f t="shared" si="0"/>
        <v>B</v>
      </c>
      <c r="H9" s="3" t="str">
        <f t="shared" si="1"/>
        <v>No</v>
      </c>
    </row>
    <row r="10" spans="1:8" x14ac:dyDescent="0.3">
      <c r="A10" s="1">
        <v>1009</v>
      </c>
      <c r="B10" s="1" t="s">
        <v>24</v>
      </c>
      <c r="C10" s="1">
        <v>41</v>
      </c>
      <c r="D10" s="1">
        <v>75</v>
      </c>
      <c r="E10" s="1">
        <v>56</v>
      </c>
      <c r="F10" s="1" t="s">
        <v>25</v>
      </c>
      <c r="G10" s="7" t="str">
        <f t="shared" si="0"/>
        <v>C</v>
      </c>
      <c r="H10" s="3" t="str">
        <f t="shared" si="1"/>
        <v>No</v>
      </c>
    </row>
    <row r="11" spans="1:8" x14ac:dyDescent="0.3">
      <c r="A11" s="1">
        <v>1010</v>
      </c>
      <c r="B11" s="1" t="s">
        <v>26</v>
      </c>
      <c r="C11" s="1">
        <v>98</v>
      </c>
      <c r="D11" s="1">
        <v>54</v>
      </c>
      <c r="E11" s="1">
        <v>58</v>
      </c>
      <c r="F11" s="1" t="s">
        <v>27</v>
      </c>
      <c r="G11" s="7" t="str">
        <f t="shared" si="0"/>
        <v>B</v>
      </c>
      <c r="H11" s="3" t="str">
        <f t="shared" si="1"/>
        <v>No</v>
      </c>
    </row>
    <row r="12" spans="1:8" x14ac:dyDescent="0.3">
      <c r="A12" s="1">
        <v>1011</v>
      </c>
      <c r="B12" s="1" t="s">
        <v>28</v>
      </c>
      <c r="C12" s="1">
        <v>73</v>
      </c>
      <c r="D12" s="1">
        <v>79</v>
      </c>
      <c r="E12" s="1">
        <v>53</v>
      </c>
      <c r="F12" s="1" t="s">
        <v>29</v>
      </c>
      <c r="G12" s="7" t="str">
        <f t="shared" si="0"/>
        <v>B</v>
      </c>
      <c r="H12" s="3" t="str">
        <f t="shared" si="1"/>
        <v>No</v>
      </c>
    </row>
    <row r="13" spans="1:8" x14ac:dyDescent="0.3">
      <c r="A13" s="1">
        <v>1012</v>
      </c>
      <c r="B13" s="1" t="s">
        <v>30</v>
      </c>
      <c r="C13" s="1">
        <v>85</v>
      </c>
      <c r="D13" s="1">
        <v>89</v>
      </c>
      <c r="E13" s="1">
        <v>79</v>
      </c>
      <c r="F13" s="1" t="s">
        <v>31</v>
      </c>
      <c r="G13" s="7" t="str">
        <f t="shared" si="0"/>
        <v>A</v>
      </c>
      <c r="H13" s="8" t="str">
        <f t="shared" si="1"/>
        <v>Yes</v>
      </c>
    </row>
    <row r="14" spans="1:8" x14ac:dyDescent="0.3">
      <c r="A14" s="1">
        <v>1013</v>
      </c>
      <c r="B14" s="1" t="s">
        <v>32</v>
      </c>
      <c r="C14" s="1">
        <v>98</v>
      </c>
      <c r="D14" s="1">
        <v>90</v>
      </c>
      <c r="E14" s="1">
        <v>97</v>
      </c>
      <c r="F14" s="1" t="s">
        <v>33</v>
      </c>
      <c r="G14" s="7" t="str">
        <f t="shared" si="0"/>
        <v>A</v>
      </c>
      <c r="H14" s="8" t="str">
        <f t="shared" si="1"/>
        <v>Yes</v>
      </c>
    </row>
    <row r="15" spans="1:8" x14ac:dyDescent="0.3">
      <c r="A15" s="1">
        <v>1014</v>
      </c>
      <c r="B15" s="1" t="s">
        <v>34</v>
      </c>
      <c r="C15" s="1">
        <v>93</v>
      </c>
      <c r="D15" s="1">
        <v>40</v>
      </c>
      <c r="E15" s="1">
        <v>44</v>
      </c>
      <c r="F15" s="1" t="s">
        <v>35</v>
      </c>
      <c r="G15" s="7" t="str">
        <f t="shared" si="0"/>
        <v>C</v>
      </c>
      <c r="H15" s="3" t="str">
        <f>IF(AND(C15&gt;80,D15&gt;80),"Yes","No")</f>
        <v>No</v>
      </c>
    </row>
    <row r="16" spans="1:8" x14ac:dyDescent="0.3">
      <c r="A16" s="1">
        <v>1015</v>
      </c>
      <c r="B16" s="1" t="s">
        <v>36</v>
      </c>
      <c r="C16" s="1">
        <v>70</v>
      </c>
      <c r="D16" s="1">
        <v>51</v>
      </c>
      <c r="E16" s="1">
        <v>75</v>
      </c>
      <c r="F16" s="1" t="s">
        <v>37</v>
      </c>
      <c r="G16" s="7" t="str">
        <f t="shared" si="0"/>
        <v>B</v>
      </c>
      <c r="H16" s="3" t="str">
        <f t="shared" si="1"/>
        <v>No</v>
      </c>
    </row>
    <row r="17" spans="1:8" x14ac:dyDescent="0.3">
      <c r="A17" s="1">
        <v>1016</v>
      </c>
      <c r="B17" s="1" t="s">
        <v>38</v>
      </c>
      <c r="C17" s="1">
        <v>98</v>
      </c>
      <c r="D17" s="1">
        <v>77</v>
      </c>
      <c r="E17" s="1">
        <v>60</v>
      </c>
      <c r="F17" s="1" t="s">
        <v>39</v>
      </c>
      <c r="G17" s="7" t="str">
        <f t="shared" si="0"/>
        <v>B</v>
      </c>
      <c r="H17" s="3" t="str">
        <f t="shared" si="1"/>
        <v>No</v>
      </c>
    </row>
    <row r="18" spans="1:8" x14ac:dyDescent="0.3">
      <c r="A18" s="1">
        <v>1017</v>
      </c>
      <c r="B18" s="1" t="s">
        <v>40</v>
      </c>
      <c r="C18" s="1">
        <v>66</v>
      </c>
      <c r="D18" s="1">
        <v>59</v>
      </c>
      <c r="E18" s="1">
        <v>40</v>
      </c>
      <c r="F18" s="1" t="s">
        <v>41</v>
      </c>
      <c r="G18" s="7" t="str">
        <f t="shared" si="0"/>
        <v>C</v>
      </c>
      <c r="H18" s="3" t="str">
        <f t="shared" si="1"/>
        <v>No</v>
      </c>
    </row>
    <row r="19" spans="1:8" x14ac:dyDescent="0.3">
      <c r="A19" s="1">
        <v>1018</v>
      </c>
      <c r="B19" s="1" t="s">
        <v>42</v>
      </c>
      <c r="C19" s="1">
        <v>82</v>
      </c>
      <c r="D19" s="1">
        <v>48</v>
      </c>
      <c r="E19" s="1">
        <v>79</v>
      </c>
      <c r="F19" s="1" t="s">
        <v>43</v>
      </c>
      <c r="G19" s="7" t="str">
        <f t="shared" si="0"/>
        <v>B</v>
      </c>
      <c r="H19" s="3" t="str">
        <f t="shared" si="1"/>
        <v>No</v>
      </c>
    </row>
    <row r="20" spans="1:8" x14ac:dyDescent="0.3">
      <c r="A20" s="1">
        <v>1019</v>
      </c>
      <c r="B20" s="1" t="s">
        <v>44</v>
      </c>
      <c r="C20" s="1">
        <v>90</v>
      </c>
      <c r="D20" s="1">
        <v>78</v>
      </c>
      <c r="E20" s="1">
        <v>60</v>
      </c>
      <c r="F20" s="1" t="s">
        <v>45</v>
      </c>
      <c r="G20" s="7" t="str">
        <f t="shared" si="0"/>
        <v>B</v>
      </c>
      <c r="H20" s="3" t="str">
        <f t="shared" si="1"/>
        <v>No</v>
      </c>
    </row>
    <row r="21" spans="1:8" x14ac:dyDescent="0.3">
      <c r="A21" s="1">
        <v>1020</v>
      </c>
      <c r="B21" s="1" t="s">
        <v>46</v>
      </c>
      <c r="C21" s="1">
        <v>83</v>
      </c>
      <c r="D21" s="1">
        <v>92</v>
      </c>
      <c r="E21" s="1">
        <v>55</v>
      </c>
      <c r="F21" s="1" t="s">
        <v>47</v>
      </c>
      <c r="G21" s="7" t="str">
        <f t="shared" si="0"/>
        <v>B</v>
      </c>
      <c r="H21" s="8" t="str">
        <f t="shared" si="1"/>
        <v>Yes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sqref="A1:F1"/>
    </sheetView>
  </sheetViews>
  <sheetFormatPr defaultRowHeight="14.4" x14ac:dyDescent="0.3"/>
  <cols>
    <col min="1" max="1" width="9.77734375" customWidth="1"/>
    <col min="2" max="2" width="11.77734375" customWidth="1"/>
    <col min="3" max="3" width="10" customWidth="1"/>
    <col min="4" max="4" width="13.6640625" customWidth="1"/>
    <col min="5" max="5" width="11.33203125" customWidth="1"/>
    <col min="6" max="6" width="14.21875" customWidth="1"/>
  </cols>
  <sheetData>
    <row r="1" spans="1:6" x14ac:dyDescent="0.3">
      <c r="A1" s="9" t="s">
        <v>48</v>
      </c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</row>
    <row r="2" spans="1:6" x14ac:dyDescent="0.3">
      <c r="A2" s="1">
        <v>2001</v>
      </c>
      <c r="B2" s="1" t="s">
        <v>54</v>
      </c>
      <c r="C2" s="1" t="s">
        <v>55</v>
      </c>
      <c r="D2" s="1" t="s">
        <v>56</v>
      </c>
      <c r="E2" s="1">
        <v>7048</v>
      </c>
      <c r="F2" s="1" t="s">
        <v>57</v>
      </c>
    </row>
    <row r="3" spans="1:6" x14ac:dyDescent="0.3">
      <c r="A3" s="1">
        <v>2002</v>
      </c>
      <c r="B3" s="1" t="s">
        <v>58</v>
      </c>
      <c r="C3" s="1" t="s">
        <v>59</v>
      </c>
      <c r="D3" s="1" t="s">
        <v>60</v>
      </c>
      <c r="E3" s="1">
        <v>17428</v>
      </c>
      <c r="F3" s="1" t="s">
        <v>61</v>
      </c>
    </row>
    <row r="4" spans="1:6" x14ac:dyDescent="0.3">
      <c r="A4" s="1">
        <v>2003</v>
      </c>
      <c r="B4" s="1" t="s">
        <v>62</v>
      </c>
      <c r="C4" s="1" t="s">
        <v>55</v>
      </c>
      <c r="D4" s="1" t="s">
        <v>63</v>
      </c>
      <c r="E4" s="1">
        <v>23672</v>
      </c>
      <c r="F4" s="1" t="s">
        <v>64</v>
      </c>
    </row>
    <row r="5" spans="1:6" x14ac:dyDescent="0.3">
      <c r="A5" s="1">
        <v>2004</v>
      </c>
      <c r="B5" s="1" t="s">
        <v>58</v>
      </c>
      <c r="C5" s="1" t="s">
        <v>65</v>
      </c>
      <c r="D5" s="1" t="s">
        <v>66</v>
      </c>
      <c r="E5" s="1">
        <v>5264</v>
      </c>
      <c r="F5" s="1" t="s">
        <v>67</v>
      </c>
    </row>
    <row r="6" spans="1:6" x14ac:dyDescent="0.3">
      <c r="A6" s="1">
        <v>2005</v>
      </c>
      <c r="B6" s="1" t="s">
        <v>54</v>
      </c>
      <c r="C6" s="1" t="s">
        <v>68</v>
      </c>
      <c r="D6" s="1" t="s">
        <v>69</v>
      </c>
      <c r="E6" s="1">
        <v>43388</v>
      </c>
      <c r="F6" s="1" t="s">
        <v>70</v>
      </c>
    </row>
    <row r="7" spans="1:6" x14ac:dyDescent="0.3">
      <c r="A7" s="1">
        <v>2006</v>
      </c>
      <c r="B7" s="1" t="s">
        <v>62</v>
      </c>
      <c r="C7" s="1" t="s">
        <v>68</v>
      </c>
      <c r="D7" s="1" t="s">
        <v>71</v>
      </c>
      <c r="E7" s="1">
        <v>19757</v>
      </c>
      <c r="F7" s="1" t="s">
        <v>72</v>
      </c>
    </row>
    <row r="8" spans="1:6" x14ac:dyDescent="0.3">
      <c r="A8" s="1">
        <v>2007</v>
      </c>
      <c r="B8" s="1" t="s">
        <v>62</v>
      </c>
      <c r="C8" s="1" t="s">
        <v>65</v>
      </c>
      <c r="D8" s="1" t="s">
        <v>73</v>
      </c>
      <c r="E8" s="1">
        <v>32058</v>
      </c>
      <c r="F8" s="4">
        <v>45017</v>
      </c>
    </row>
    <row r="9" spans="1:6" x14ac:dyDescent="0.3">
      <c r="A9" s="1">
        <v>2008</v>
      </c>
      <c r="B9" s="1" t="s">
        <v>54</v>
      </c>
      <c r="C9" s="1" t="s">
        <v>65</v>
      </c>
      <c r="D9" s="1" t="s">
        <v>74</v>
      </c>
      <c r="E9" s="1">
        <v>46429</v>
      </c>
      <c r="F9" s="1" t="s">
        <v>75</v>
      </c>
    </row>
    <row r="10" spans="1:6" x14ac:dyDescent="0.3">
      <c r="A10" s="1">
        <v>2009</v>
      </c>
      <c r="B10" s="1" t="s">
        <v>58</v>
      </c>
      <c r="C10" s="1" t="s">
        <v>65</v>
      </c>
      <c r="D10" s="1" t="s">
        <v>76</v>
      </c>
      <c r="E10" s="1">
        <v>19746</v>
      </c>
      <c r="F10" s="1" t="s">
        <v>77</v>
      </c>
    </row>
    <row r="11" spans="1:6" x14ac:dyDescent="0.3">
      <c r="A11" s="1">
        <v>2010</v>
      </c>
      <c r="B11" s="1" t="s">
        <v>54</v>
      </c>
      <c r="C11" s="1" t="s">
        <v>55</v>
      </c>
      <c r="D11" s="1" t="s">
        <v>78</v>
      </c>
      <c r="E11" s="1">
        <v>35185</v>
      </c>
      <c r="F11" s="1" t="s">
        <v>79</v>
      </c>
    </row>
    <row r="12" spans="1:6" x14ac:dyDescent="0.3">
      <c r="A12" s="1">
        <v>2011</v>
      </c>
      <c r="B12" s="1" t="s">
        <v>54</v>
      </c>
      <c r="C12" s="1" t="s">
        <v>65</v>
      </c>
      <c r="D12" s="1" t="s">
        <v>80</v>
      </c>
      <c r="E12" s="1">
        <v>33920</v>
      </c>
      <c r="F12" s="1" t="s">
        <v>81</v>
      </c>
    </row>
    <row r="13" spans="1:6" x14ac:dyDescent="0.3">
      <c r="A13" s="1">
        <v>2012</v>
      </c>
      <c r="B13" s="1" t="s">
        <v>82</v>
      </c>
      <c r="C13" s="1" t="s">
        <v>68</v>
      </c>
      <c r="D13" s="1" t="s">
        <v>83</v>
      </c>
      <c r="E13" s="1">
        <v>35611</v>
      </c>
      <c r="F13" s="1" t="s">
        <v>84</v>
      </c>
    </row>
    <row r="14" spans="1:6" x14ac:dyDescent="0.3">
      <c r="A14" s="1">
        <v>2013</v>
      </c>
      <c r="B14" s="1" t="s">
        <v>85</v>
      </c>
      <c r="C14" s="1" t="s">
        <v>65</v>
      </c>
      <c r="D14" s="1" t="s">
        <v>86</v>
      </c>
      <c r="E14" s="1">
        <v>15560</v>
      </c>
      <c r="F14" s="1" t="s">
        <v>87</v>
      </c>
    </row>
    <row r="15" spans="1:6" x14ac:dyDescent="0.3">
      <c r="A15" s="1">
        <v>2014</v>
      </c>
      <c r="B15" s="1" t="s">
        <v>85</v>
      </c>
      <c r="C15" s="1" t="s">
        <v>55</v>
      </c>
      <c r="D15" s="1" t="s">
        <v>88</v>
      </c>
      <c r="E15" s="1">
        <v>7283</v>
      </c>
      <c r="F15" s="1" t="s">
        <v>89</v>
      </c>
    </row>
    <row r="16" spans="1:6" x14ac:dyDescent="0.3">
      <c r="A16" s="1">
        <v>2015</v>
      </c>
      <c r="B16" s="1" t="s">
        <v>85</v>
      </c>
      <c r="C16" s="1" t="s">
        <v>65</v>
      </c>
      <c r="D16" s="1" t="s">
        <v>90</v>
      </c>
      <c r="E16" s="1">
        <v>15678</v>
      </c>
      <c r="F16" s="1" t="s">
        <v>91</v>
      </c>
    </row>
    <row r="17" spans="1:6" x14ac:dyDescent="0.3">
      <c r="A17" s="1">
        <v>2016</v>
      </c>
      <c r="B17" s="1" t="s">
        <v>62</v>
      </c>
      <c r="C17" s="1" t="s">
        <v>65</v>
      </c>
      <c r="D17" s="1" t="s">
        <v>92</v>
      </c>
      <c r="E17" s="1">
        <v>5277</v>
      </c>
      <c r="F17" s="1" t="s">
        <v>93</v>
      </c>
    </row>
    <row r="18" spans="1:6" x14ac:dyDescent="0.3">
      <c r="A18" s="1">
        <v>2017</v>
      </c>
      <c r="B18" s="1" t="s">
        <v>82</v>
      </c>
      <c r="C18" s="1" t="s">
        <v>68</v>
      </c>
      <c r="D18" s="1" t="s">
        <v>94</v>
      </c>
      <c r="E18" s="1">
        <v>41871</v>
      </c>
      <c r="F18" s="1" t="s">
        <v>95</v>
      </c>
    </row>
    <row r="19" spans="1:6" x14ac:dyDescent="0.3">
      <c r="A19" s="1">
        <v>2018</v>
      </c>
      <c r="B19" s="1" t="s">
        <v>82</v>
      </c>
      <c r="C19" s="1" t="s">
        <v>59</v>
      </c>
      <c r="D19" s="1" t="s">
        <v>96</v>
      </c>
      <c r="E19" s="1">
        <v>38161</v>
      </c>
      <c r="F19" s="1" t="s">
        <v>97</v>
      </c>
    </row>
    <row r="20" spans="1:6" x14ac:dyDescent="0.3">
      <c r="A20" s="1">
        <v>2019</v>
      </c>
      <c r="B20" s="1" t="s">
        <v>62</v>
      </c>
      <c r="C20" s="1" t="s">
        <v>59</v>
      </c>
      <c r="D20" s="1" t="s">
        <v>98</v>
      </c>
      <c r="E20" s="1">
        <v>30436</v>
      </c>
      <c r="F20" s="1" t="s">
        <v>99</v>
      </c>
    </row>
    <row r="21" spans="1:6" x14ac:dyDescent="0.3">
      <c r="A21" s="1">
        <v>2020</v>
      </c>
      <c r="B21" s="1" t="s">
        <v>58</v>
      </c>
      <c r="C21" s="1" t="s">
        <v>59</v>
      </c>
      <c r="D21" s="1" t="s">
        <v>100</v>
      </c>
      <c r="E21" s="1">
        <v>33953</v>
      </c>
      <c r="F21" s="1" t="s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selection activeCell="F2" sqref="F2:F18"/>
    </sheetView>
  </sheetViews>
  <sheetFormatPr defaultRowHeight="14.4" x14ac:dyDescent="0.3"/>
  <cols>
    <col min="1" max="1" width="11.21875" bestFit="1" customWidth="1"/>
    <col min="2" max="2" width="11.44140625" bestFit="1" customWidth="1"/>
    <col min="3" max="3" width="10.88671875" bestFit="1" customWidth="1"/>
    <col min="4" max="4" width="9" customWidth="1"/>
    <col min="5" max="5" width="10.88671875" bestFit="1" customWidth="1"/>
    <col min="6" max="6" width="16.21875" bestFit="1" customWidth="1"/>
  </cols>
  <sheetData>
    <row r="1" spans="1:6" x14ac:dyDescent="0.3">
      <c r="A1" s="5" t="s">
        <v>102</v>
      </c>
      <c r="B1" s="5" t="s">
        <v>1</v>
      </c>
      <c r="C1" s="5" t="s">
        <v>103</v>
      </c>
      <c r="D1" s="5" t="s">
        <v>104</v>
      </c>
      <c r="E1" s="5" t="s">
        <v>105</v>
      </c>
      <c r="F1" s="5" t="s">
        <v>106</v>
      </c>
    </row>
    <row r="2" spans="1:6" x14ac:dyDescent="0.3">
      <c r="A2" s="1">
        <v>3001</v>
      </c>
      <c r="B2" s="1" t="s">
        <v>107</v>
      </c>
      <c r="C2" s="1" t="s">
        <v>108</v>
      </c>
      <c r="D2" s="1">
        <v>86766</v>
      </c>
      <c r="E2" s="1" t="s">
        <v>109</v>
      </c>
      <c r="F2" s="10">
        <f t="shared" ref="F2:F18" ca="1" si="0">DATEDIF(E2,TODAY(),"Y")</f>
        <v>11</v>
      </c>
    </row>
    <row r="3" spans="1:6" x14ac:dyDescent="0.3">
      <c r="A3" s="1">
        <v>3002</v>
      </c>
      <c r="B3" s="1" t="s">
        <v>110</v>
      </c>
      <c r="C3" s="1" t="s">
        <v>108</v>
      </c>
      <c r="D3" s="1">
        <v>31943</v>
      </c>
      <c r="E3" s="1" t="s">
        <v>111</v>
      </c>
      <c r="F3" s="10">
        <f t="shared" ca="1" si="0"/>
        <v>10</v>
      </c>
    </row>
    <row r="4" spans="1:6" x14ac:dyDescent="0.3">
      <c r="A4" s="1">
        <v>3003</v>
      </c>
      <c r="B4" s="1" t="s">
        <v>112</v>
      </c>
      <c r="C4" s="1" t="s">
        <v>113</v>
      </c>
      <c r="D4" s="1">
        <v>63374</v>
      </c>
      <c r="E4" s="1" t="s">
        <v>114</v>
      </c>
      <c r="F4" s="10">
        <f t="shared" ca="1" si="0"/>
        <v>9</v>
      </c>
    </row>
    <row r="5" spans="1:6" x14ac:dyDescent="0.3">
      <c r="A5" s="1">
        <v>3004</v>
      </c>
      <c r="B5" s="1" t="s">
        <v>115</v>
      </c>
      <c r="C5" s="1" t="s">
        <v>108</v>
      </c>
      <c r="D5" s="1">
        <v>109972</v>
      </c>
      <c r="E5" s="1" t="s">
        <v>116</v>
      </c>
      <c r="F5" s="10">
        <f t="shared" ca="1" si="0"/>
        <v>8</v>
      </c>
    </row>
    <row r="6" spans="1:6" x14ac:dyDescent="0.3">
      <c r="A6" s="1">
        <v>3005</v>
      </c>
      <c r="B6" s="1" t="s">
        <v>117</v>
      </c>
      <c r="C6" s="1" t="s">
        <v>118</v>
      </c>
      <c r="D6" s="1">
        <v>54149</v>
      </c>
      <c r="E6" s="1" t="s">
        <v>119</v>
      </c>
      <c r="F6" s="10">
        <f t="shared" ca="1" si="0"/>
        <v>8</v>
      </c>
    </row>
    <row r="7" spans="1:6" x14ac:dyDescent="0.3">
      <c r="A7" s="1">
        <v>3006</v>
      </c>
      <c r="B7" s="1" t="s">
        <v>120</v>
      </c>
      <c r="C7" s="1" t="s">
        <v>118</v>
      </c>
      <c r="D7" s="1">
        <v>78689</v>
      </c>
      <c r="E7" s="1" t="s">
        <v>121</v>
      </c>
      <c r="F7" s="10">
        <f t="shared" ca="1" si="0"/>
        <v>7</v>
      </c>
    </row>
    <row r="8" spans="1:6" x14ac:dyDescent="0.3">
      <c r="A8" s="1">
        <v>3007</v>
      </c>
      <c r="B8" s="1" t="s">
        <v>122</v>
      </c>
      <c r="C8" s="1" t="s">
        <v>123</v>
      </c>
      <c r="D8" s="1">
        <v>35960</v>
      </c>
      <c r="E8" s="1" t="s">
        <v>124</v>
      </c>
      <c r="F8" s="10">
        <f t="shared" ca="1" si="0"/>
        <v>6</v>
      </c>
    </row>
    <row r="9" spans="1:6" x14ac:dyDescent="0.3">
      <c r="A9" s="1">
        <v>3008</v>
      </c>
      <c r="B9" s="1" t="s">
        <v>125</v>
      </c>
      <c r="C9" s="1" t="s">
        <v>118</v>
      </c>
      <c r="D9" s="1">
        <v>91659</v>
      </c>
      <c r="E9" s="1" t="s">
        <v>126</v>
      </c>
      <c r="F9" s="10">
        <f t="shared" ca="1" si="0"/>
        <v>6</v>
      </c>
    </row>
    <row r="10" spans="1:6" x14ac:dyDescent="0.3">
      <c r="A10" s="1">
        <v>3009</v>
      </c>
      <c r="B10" s="1" t="s">
        <v>127</v>
      </c>
      <c r="C10" s="1" t="s">
        <v>118</v>
      </c>
      <c r="D10" s="1">
        <v>90423</v>
      </c>
      <c r="E10" s="1" t="s">
        <v>128</v>
      </c>
      <c r="F10" s="10">
        <f t="shared" ca="1" si="0"/>
        <v>5</v>
      </c>
    </row>
    <row r="11" spans="1:6" x14ac:dyDescent="0.3">
      <c r="A11" s="1">
        <v>3010</v>
      </c>
      <c r="B11" s="1" t="s">
        <v>129</v>
      </c>
      <c r="C11" s="1" t="s">
        <v>113</v>
      </c>
      <c r="D11" s="1">
        <v>107877</v>
      </c>
      <c r="E11" s="1" t="s">
        <v>130</v>
      </c>
      <c r="F11" s="10">
        <f t="shared" ca="1" si="0"/>
        <v>4</v>
      </c>
    </row>
    <row r="12" spans="1:6" x14ac:dyDescent="0.3">
      <c r="A12" s="1">
        <v>3011</v>
      </c>
      <c r="B12" s="1" t="s">
        <v>131</v>
      </c>
      <c r="C12" s="1" t="s">
        <v>108</v>
      </c>
      <c r="D12" s="1">
        <v>107634</v>
      </c>
      <c r="E12" s="1" t="s">
        <v>132</v>
      </c>
      <c r="F12" s="10">
        <f t="shared" ca="1" si="0"/>
        <v>4</v>
      </c>
    </row>
    <row r="13" spans="1:6" x14ac:dyDescent="0.3">
      <c r="A13" s="1">
        <v>3012</v>
      </c>
      <c r="B13" s="1" t="s">
        <v>133</v>
      </c>
      <c r="C13" s="1" t="s">
        <v>108</v>
      </c>
      <c r="D13" s="1">
        <v>35226</v>
      </c>
      <c r="E13" s="1" t="s">
        <v>134</v>
      </c>
      <c r="F13" s="10">
        <f t="shared" ca="1" si="0"/>
        <v>3</v>
      </c>
    </row>
    <row r="14" spans="1:6" x14ac:dyDescent="0.3">
      <c r="A14" s="1">
        <v>3013</v>
      </c>
      <c r="B14" s="1" t="s">
        <v>135</v>
      </c>
      <c r="C14" s="1" t="s">
        <v>113</v>
      </c>
      <c r="D14" s="1">
        <v>40872</v>
      </c>
      <c r="E14" s="1" t="s">
        <v>136</v>
      </c>
      <c r="F14" s="10">
        <f t="shared" ca="1" si="0"/>
        <v>2</v>
      </c>
    </row>
    <row r="15" spans="1:6" x14ac:dyDescent="0.3">
      <c r="A15" s="1">
        <v>3014</v>
      </c>
      <c r="B15" s="1" t="s">
        <v>137</v>
      </c>
      <c r="C15" s="1" t="s">
        <v>113</v>
      </c>
      <c r="D15" s="1">
        <v>55378</v>
      </c>
      <c r="E15" s="1" t="s">
        <v>138</v>
      </c>
      <c r="F15" s="10">
        <f t="shared" ca="1" si="0"/>
        <v>2</v>
      </c>
    </row>
    <row r="16" spans="1:6" x14ac:dyDescent="0.3">
      <c r="A16" s="1">
        <v>3015</v>
      </c>
      <c r="B16" s="1" t="s">
        <v>139</v>
      </c>
      <c r="C16" s="1" t="s">
        <v>113</v>
      </c>
      <c r="D16" s="1">
        <v>63297</v>
      </c>
      <c r="E16" s="1" t="s">
        <v>140</v>
      </c>
      <c r="F16" s="10">
        <f t="shared" ca="1" si="0"/>
        <v>1</v>
      </c>
    </row>
    <row r="17" spans="1:6" x14ac:dyDescent="0.3">
      <c r="A17" s="1">
        <v>3016</v>
      </c>
      <c r="B17" s="1" t="s">
        <v>141</v>
      </c>
      <c r="C17" s="1" t="s">
        <v>108</v>
      </c>
      <c r="D17" s="1">
        <v>114173</v>
      </c>
      <c r="E17" s="1" t="s">
        <v>142</v>
      </c>
      <c r="F17" s="10">
        <f t="shared" ca="1" si="0"/>
        <v>0</v>
      </c>
    </row>
    <row r="18" spans="1:6" x14ac:dyDescent="0.3">
      <c r="A18" s="1">
        <v>3017</v>
      </c>
      <c r="B18" s="1" t="s">
        <v>143</v>
      </c>
      <c r="C18" s="1" t="s">
        <v>113</v>
      </c>
      <c r="D18" s="1">
        <v>86915</v>
      </c>
      <c r="E18" s="1" t="s">
        <v>144</v>
      </c>
      <c r="F18" s="10">
        <f t="shared" ca="1" si="0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abSelected="1" workbookViewId="0">
      <selection activeCell="C7" sqref="C7"/>
    </sheetView>
  </sheetViews>
  <sheetFormatPr defaultRowHeight="14.4" x14ac:dyDescent="0.3"/>
  <cols>
    <col min="1" max="1" width="23.44140625" bestFit="1" customWidth="1"/>
  </cols>
  <sheetData>
    <row r="1" spans="1:2" x14ac:dyDescent="0.3">
      <c r="A1" s="2" t="s">
        <v>145</v>
      </c>
      <c r="B1" s="3">
        <f>COUNTIFS(Students_Data!C:C,"&gt;50")</f>
        <v>19</v>
      </c>
    </row>
    <row r="2" spans="1:2" x14ac:dyDescent="0.3">
      <c r="A2" s="2" t="s">
        <v>146</v>
      </c>
      <c r="B2" s="3">
        <f>COUNTIFS(Students_Data!G:G,"B")+COUNTIFS(Students_Data!G:G,"A")</f>
        <v>16</v>
      </c>
    </row>
    <row r="3" spans="1:2" x14ac:dyDescent="0.3">
      <c r="A3" s="2" t="s">
        <v>147</v>
      </c>
      <c r="B3" s="3">
        <f>SUMIFS(Sales_Data!E:E,Sales_Data!B:B,"Keyboard",Sales_Data!C:C,"East")</f>
        <v>80349</v>
      </c>
    </row>
    <row r="4" spans="1:2" x14ac:dyDescent="0.3">
      <c r="A4" s="2" t="s">
        <v>148</v>
      </c>
      <c r="B4" s="3">
        <f>_xlfn.XLOOKUP(3008,Employees_Data!A:A,Employees_Data!D:D)</f>
        <v>91659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Students_Data</vt:lpstr>
      <vt:lpstr>Sales_Data</vt:lpstr>
      <vt:lpstr>Employees_Data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ANKUR VADHIYA</cp:lastModifiedBy>
  <dcterms:created xsi:type="dcterms:W3CDTF">2025-12-30T05:25:15Z</dcterms:created>
  <dcterms:modified xsi:type="dcterms:W3CDTF">2026-01-02T05:43:16Z</dcterms:modified>
</cp:coreProperties>
</file>